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117D5C6-0633-4F1C-AA0B-87EE31556C16}" xr6:coauthVersionLast="47" xr6:coauthVersionMax="47" xr10:uidLastSave="{00000000-0000-0000-0000-000000000000}"/>
  <bookViews>
    <workbookView xWindow="-110" yWindow="-110" windowWidth="19420" windowHeight="11500" activeTab="1" xr2:uid="{00000000-000D-0000-FFFF-FFFF00000000}"/>
  </bookViews>
  <sheets>
    <sheet name="Retail_Sales_Data" sheetId="1" r:id="rId1"/>
    <sheet name="Pivot Tables" sheetId="2" r:id="rId2"/>
  </sheets>
  <definedNames>
    <definedName name="Slicer_Category">#N/A</definedName>
    <definedName name="Slicer_Payment_Mode">#N/A</definedName>
    <definedName name="Slicer_Region">#N/A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M4" i="1"/>
  <c r="N4" i="1"/>
</calcChain>
</file>

<file path=xl/sharedStrings.xml><?xml version="1.0" encoding="utf-8"?>
<sst xmlns="http://schemas.openxmlformats.org/spreadsheetml/2006/main" count="90" uniqueCount="38">
  <si>
    <t>Order_ID</t>
  </si>
  <si>
    <t>Order_Date</t>
  </si>
  <si>
    <t>Region</t>
  </si>
  <si>
    <t>Product</t>
  </si>
  <si>
    <t>Category</t>
  </si>
  <si>
    <t>Quantity</t>
  </si>
  <si>
    <t>Unit_Price</t>
  </si>
  <si>
    <t>Total_Sales</t>
  </si>
  <si>
    <t>Payment_Mode</t>
  </si>
  <si>
    <t>2025-01-05</t>
  </si>
  <si>
    <t>North</t>
  </si>
  <si>
    <t>Laptop</t>
  </si>
  <si>
    <t>Electronics</t>
  </si>
  <si>
    <t>Card</t>
  </si>
  <si>
    <t>2025-01-06</t>
  </si>
  <si>
    <t>South</t>
  </si>
  <si>
    <t>Mouse</t>
  </si>
  <si>
    <t>Accessories</t>
  </si>
  <si>
    <t>Cash</t>
  </si>
  <si>
    <t>East</t>
  </si>
  <si>
    <t>Chair</t>
  </si>
  <si>
    <t>Furniture</t>
  </si>
  <si>
    <t>2025-01-07</t>
  </si>
  <si>
    <t>West</t>
  </si>
  <si>
    <t>Table</t>
  </si>
  <si>
    <t>UPI</t>
  </si>
  <si>
    <t>Keyboard</t>
  </si>
  <si>
    <t>2025-01-08</t>
  </si>
  <si>
    <t>Monitor</t>
  </si>
  <si>
    <t>2025-01-09</t>
  </si>
  <si>
    <t>2025-01-10</t>
  </si>
  <si>
    <t>Total Revenue</t>
  </si>
  <si>
    <t>Row Labels</t>
  </si>
  <si>
    <t>Grand Total</t>
  </si>
  <si>
    <t>Sum of Total_Sales</t>
  </si>
  <si>
    <t>Sum of Quantity</t>
  </si>
  <si>
    <t>Average Sales</t>
  </si>
  <si>
    <t xml:space="preserve">Highest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</si>
</sst>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49" fontId="0" fillId="0" borderId="0" xfId="0" applyNumberFormat="1"/>
  </cellXfs>
  <cellStyles count="1">
    <cellStyle name="Normal" xfId="0" builtinId="0"/>
  </cellStyles>
  <dxfs count="11">
    <dxf>
      <font>
        <i val="0"/>
      </font>
    </dxf>
    <dxf>
      <font>
        <i val="0"/>
      </font>
    </dxf>
    <dxf>
      <font>
        <i val="0"/>
      </font>
    </dxf>
    <dxf>
      <font>
        <i val="0"/>
      </font>
    </dxf>
    <dxf>
      <font>
        <i val="0"/>
      </font>
    </dxf>
    <dxf>
      <font>
        <i val="0"/>
      </font>
    </dxf>
    <dxf>
      <font>
        <i val="0"/>
      </font>
      <numFmt numFmtId="0" formatCode="General"/>
    </dxf>
    <dxf>
      <font>
        <i val="0"/>
      </font>
    </dxf>
    <dxf>
      <font>
        <i val="0"/>
      </font>
    </dxf>
    <dxf>
      <font>
        <i val="0"/>
      </font>
    </dxf>
    <dxf>
      <font>
        <i val="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6849876948318294"/>
          <c:y val="8.1206195379423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Tables'!$E$4:$E$10</c:f>
              <c:strCache>
                <c:ptCount val="6"/>
                <c:pt idx="0">
                  <c:v>Chair</c:v>
                </c:pt>
                <c:pt idx="1">
                  <c:v>Keyboard</c:v>
                </c:pt>
                <c:pt idx="2">
                  <c:v>Laptop</c:v>
                </c:pt>
                <c:pt idx="3">
                  <c:v>Monitor</c:v>
                </c:pt>
                <c:pt idx="4">
                  <c:v>Mouse</c:v>
                </c:pt>
                <c:pt idx="5">
                  <c:v>Table</c:v>
                </c:pt>
              </c:strCache>
            </c:strRef>
          </c:cat>
          <c:val>
            <c:numRef>
              <c:f>'Pivot Tables'!$F$4:$F$10</c:f>
              <c:numCache>
                <c:formatCode>General</c:formatCode>
                <c:ptCount val="6"/>
                <c:pt idx="0">
                  <c:v>750</c:v>
                </c:pt>
                <c:pt idx="1">
                  <c:v>200</c:v>
                </c:pt>
                <c:pt idx="2">
                  <c:v>2100</c:v>
                </c:pt>
                <c:pt idx="3">
                  <c:v>500</c:v>
                </c:pt>
                <c:pt idx="4">
                  <c:v>220</c:v>
                </c:pt>
                <c:pt idx="5">
                  <c:v>600</c:v>
                </c:pt>
              </c:numCache>
            </c:numRef>
          </c:val>
          <c:extLst>
            <c:ext xmlns:c16="http://schemas.microsoft.com/office/drawing/2014/chart" uri="{C3380CC4-5D6E-409C-BE32-E72D297353CC}">
              <c16:uniqueId val="{00000000-616B-403F-8169-5E7F5221CE97}"/>
            </c:ext>
          </c:extLst>
        </c:ser>
        <c:dLbls>
          <c:dLblPos val="outEnd"/>
          <c:showLegendKey val="0"/>
          <c:showVal val="1"/>
          <c:showCatName val="0"/>
          <c:showSerName val="0"/>
          <c:showPercent val="0"/>
          <c:showBubbleSize val="0"/>
        </c:dLbls>
        <c:gapWidth val="182"/>
        <c:axId val="1602900592"/>
        <c:axId val="1602901072"/>
      </c:barChart>
      <c:catAx>
        <c:axId val="16029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01072"/>
        <c:crosses val="autoZero"/>
        <c:auto val="1"/>
        <c:lblAlgn val="ctr"/>
        <c:lblOffset val="100"/>
        <c:noMultiLvlLbl val="0"/>
      </c:catAx>
      <c:valAx>
        <c:axId val="160290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90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[Retail_Sales_Excel_Project.xlsx]Pivot Tables!PivotTable19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628063346014334E-2"/>
          <c:y val="0.30322020092316049"/>
          <c:w val="0.72912748827744844"/>
          <c:h val="0.69639925645899037"/>
        </c:manualLayout>
      </c:layout>
      <c:pie3DChart>
        <c:varyColors val="1"/>
        <c:ser>
          <c:idx val="0"/>
          <c:order val="0"/>
          <c:tx>
            <c:strRef>
              <c:f>'Pivot Tables'!$L$3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B8-4572-9C17-0B71D1F56B0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B8-4572-9C17-0B71D1F56B0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B8-4572-9C17-0B71D1F56B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Tables'!$K$4:$K$7</c:f>
              <c:strCache>
                <c:ptCount val="3"/>
                <c:pt idx="0">
                  <c:v>Card</c:v>
                </c:pt>
                <c:pt idx="1">
                  <c:v>Cash</c:v>
                </c:pt>
                <c:pt idx="2">
                  <c:v>UPI</c:v>
                </c:pt>
              </c:strCache>
            </c:strRef>
          </c:cat>
          <c:val>
            <c:numRef>
              <c:f>'Pivot Tables'!$L$4:$L$7</c:f>
              <c:numCache>
                <c:formatCode>General</c:formatCode>
                <c:ptCount val="3"/>
                <c:pt idx="0">
                  <c:v>2850</c:v>
                </c:pt>
                <c:pt idx="1">
                  <c:v>420</c:v>
                </c:pt>
                <c:pt idx="2">
                  <c:v>1100</c:v>
                </c:pt>
              </c:numCache>
            </c:numRef>
          </c:val>
          <c:extLst>
            <c:ext xmlns:c16="http://schemas.microsoft.com/office/drawing/2014/chart" uri="{C3380CC4-5D6E-409C-BE32-E72D297353CC}">
              <c16:uniqueId val="{00000000-586E-46F2-A12F-FF3B8295C862}"/>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84269662921348"/>
          <c:y val="0.24725370204056057"/>
          <c:w val="0.20561797752808988"/>
          <c:h val="0.335039161218906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[Retail_Sales_Excel_Project.xlsx]Pivot Tables!PivotTable1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layout>
        <c:manualLayout>
          <c:xMode val="edge"/>
          <c:yMode val="edge"/>
          <c:x val="0.28943892114495789"/>
          <c:y val="0.12620236874822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950</c:v>
                </c:pt>
                <c:pt idx="1">
                  <c:v>1900</c:v>
                </c:pt>
                <c:pt idx="2">
                  <c:v>1100</c:v>
                </c:pt>
                <c:pt idx="3">
                  <c:v>420</c:v>
                </c:pt>
              </c:numCache>
            </c:numRef>
          </c:val>
          <c:extLst>
            <c:ext xmlns:c16="http://schemas.microsoft.com/office/drawing/2014/chart" uri="{C3380CC4-5D6E-409C-BE32-E72D297353CC}">
              <c16:uniqueId val="{00000000-3517-43E1-A177-8A0987FA4107}"/>
            </c:ext>
          </c:extLst>
        </c:ser>
        <c:dLbls>
          <c:dLblPos val="outEnd"/>
          <c:showLegendKey val="0"/>
          <c:showVal val="1"/>
          <c:showCatName val="0"/>
          <c:showSerName val="0"/>
          <c:showPercent val="0"/>
          <c:showBubbleSize val="0"/>
        </c:dLbls>
        <c:gapWidth val="219"/>
        <c:overlap val="-27"/>
        <c:axId val="1689287040"/>
        <c:axId val="1689275040"/>
      </c:barChart>
      <c:catAx>
        <c:axId val="16892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75040"/>
        <c:crosses val="autoZero"/>
        <c:auto val="1"/>
        <c:lblAlgn val="ctr"/>
        <c:lblOffset val="100"/>
        <c:noMultiLvlLbl val="0"/>
      </c:catAx>
      <c:valAx>
        <c:axId val="168927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8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10</xdr:col>
      <xdr:colOff>38100</xdr:colOff>
      <xdr:row>7</xdr:row>
      <xdr:rowOff>12701</xdr:rowOff>
    </xdr:from>
    <xdr:to>
      <xdr:col>11</xdr:col>
      <xdr:colOff>501650</xdr:colOff>
      <xdr:row>15</xdr:row>
      <xdr:rowOff>25400</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EE7D8DF2-CA75-EB04-E316-59D05E1BBD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59700" y="1301751"/>
              <a:ext cx="1206500" cy="14858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514350</xdr:colOff>
      <xdr:row>7</xdr:row>
      <xdr:rowOff>57150</xdr:rowOff>
    </xdr:from>
    <xdr:to>
      <xdr:col>13</xdr:col>
      <xdr:colOff>292100</xdr:colOff>
      <xdr:row>14</xdr:row>
      <xdr:rowOff>177800</xdr:rowOff>
    </xdr:to>
    <mc:AlternateContent xmlns:mc="http://schemas.openxmlformats.org/markup-compatibility/2006" xmlns:sle15="http://schemas.microsoft.com/office/drawing/2012/slicer">
      <mc:Choice Requires="sle15">
        <xdr:graphicFrame macro="">
          <xdr:nvGraphicFramePr>
            <xdr:cNvPr id="7" name="Category">
              <a:extLst>
                <a:ext uri="{FF2B5EF4-FFF2-40B4-BE49-F238E27FC236}">
                  <a16:creationId xmlns:a16="http://schemas.microsoft.com/office/drawing/2014/main" id="{A5CDE3D0-34E7-911A-0F8B-FE923D20B37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78900" y="1346200"/>
              <a:ext cx="1479550" cy="1409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336550</xdr:colOff>
      <xdr:row>7</xdr:row>
      <xdr:rowOff>63501</xdr:rowOff>
    </xdr:from>
    <xdr:to>
      <xdr:col>14</xdr:col>
      <xdr:colOff>431800</xdr:colOff>
      <xdr:row>15</xdr:row>
      <xdr:rowOff>19050</xdr:rowOff>
    </xdr:to>
    <mc:AlternateContent xmlns:mc="http://schemas.openxmlformats.org/markup-compatibility/2006" xmlns:sle15="http://schemas.microsoft.com/office/drawing/2012/slicer">
      <mc:Choice Requires="sle15">
        <xdr:graphicFrame macro="">
          <xdr:nvGraphicFramePr>
            <xdr:cNvPr id="8" name="Payment_Mode">
              <a:extLst>
                <a:ext uri="{FF2B5EF4-FFF2-40B4-BE49-F238E27FC236}">
                  <a16:creationId xmlns:a16="http://schemas.microsoft.com/office/drawing/2014/main" id="{14AAB91B-B3A6-8A70-316B-85BF45F92F1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0502900" y="1352551"/>
              <a:ext cx="946150" cy="14287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447675</xdr:colOff>
      <xdr:row>10</xdr:row>
      <xdr:rowOff>12700</xdr:rowOff>
    </xdr:from>
    <xdr:to>
      <xdr:col>8</xdr:col>
      <xdr:colOff>209550</xdr:colOff>
      <xdr:row>22</xdr:row>
      <xdr:rowOff>114300</xdr:rowOff>
    </xdr:to>
    <xdr:graphicFrame macro="">
      <xdr:nvGraphicFramePr>
        <xdr:cNvPr id="7" name="Chart 6">
          <a:extLst>
            <a:ext uri="{FF2B5EF4-FFF2-40B4-BE49-F238E27FC236}">
              <a16:creationId xmlns:a16="http://schemas.microsoft.com/office/drawing/2014/main" id="{53EE6C6C-3873-EAC1-8AC4-BEC1D6E3A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889000</xdr:colOff>
      <xdr:row>9</xdr:row>
      <xdr:rowOff>120650</xdr:rowOff>
    </xdr:from>
    <xdr:to>
      <xdr:col>12</xdr:col>
      <xdr:colOff>381000</xdr:colOff>
      <xdr:row>22</xdr:row>
      <xdr:rowOff>91722</xdr:rowOff>
    </xdr:to>
    <xdr:graphicFrame macro="">
      <xdr:nvGraphicFramePr>
        <xdr:cNvPr id="8" name="Chart 7">
          <a:extLst>
            <a:ext uri="{FF2B5EF4-FFF2-40B4-BE49-F238E27FC236}">
              <a16:creationId xmlns:a16="http://schemas.microsoft.com/office/drawing/2014/main" id="{53667A78-6C0A-4AD7-4F0A-8C3BAA03A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10</xdr:row>
      <xdr:rowOff>19050</xdr:rowOff>
    </xdr:from>
    <xdr:to>
      <xdr:col>3</xdr:col>
      <xdr:colOff>355600</xdr:colOff>
      <xdr:row>22</xdr:row>
      <xdr:rowOff>101600</xdr:rowOff>
    </xdr:to>
    <xdr:graphicFrame macro="">
      <xdr:nvGraphicFramePr>
        <xdr:cNvPr id="9" name="Chart 8">
          <a:extLst>
            <a:ext uri="{FF2B5EF4-FFF2-40B4-BE49-F238E27FC236}">
              <a16:creationId xmlns:a16="http://schemas.microsoft.com/office/drawing/2014/main" id="{B9A748C0-787F-D36A-6476-18F975758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8.643564467595" createdVersion="8" refreshedVersion="8" minRefreshableVersion="3" recordCount="10" xr:uid="{39853F7E-DF9C-4E70-BAEA-163FBC70C072}">
  <cacheSource type="worksheet">
    <worksheetSource name="Table1"/>
  </cacheSource>
  <cacheFields count="9">
    <cacheField name="Order_ID" numFmtId="0">
      <sharedItems containsSemiMixedTypes="0" containsString="0" containsNumber="1" containsInteger="1" minValue="1001" maxValue="1010"/>
    </cacheField>
    <cacheField name="Order_Date" numFmtId="0">
      <sharedItems/>
    </cacheField>
    <cacheField name="Region" numFmtId="0">
      <sharedItems count="4">
        <s v="North"/>
        <s v="South"/>
        <s v="East"/>
        <s v="West"/>
      </sharedItems>
    </cacheField>
    <cacheField name="Product" numFmtId="0">
      <sharedItems count="6">
        <s v="Laptop"/>
        <s v="Mouse"/>
        <s v="Chair"/>
        <s v="Table"/>
        <s v="Keyboard"/>
        <s v="Monito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20" maxValue="700"/>
    </cacheField>
    <cacheField name="Total_Sales" numFmtId="0">
      <sharedItems containsSemiMixedTypes="0" containsString="0" containsNumber="1" containsInteger="1" minValue="100" maxValue="1400"/>
    </cacheField>
    <cacheField name="Payment_Mode" numFmtId="0">
      <sharedItems count="3">
        <s v="Card"/>
        <s v="Cash"/>
        <s v="UPI"/>
      </sharedItems>
    </cacheField>
  </cacheFields>
  <extLst>
    <ext xmlns:x14="http://schemas.microsoft.com/office/spreadsheetml/2009/9/main" uri="{725AE2AE-9491-48be-B2B4-4EB974FC3084}">
      <x14:pivotCacheDefinition pivotCacheId="1047860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5-01-05"/>
    <x v="0"/>
    <x v="0"/>
    <x v="0"/>
    <n v="2"/>
    <n v="700"/>
    <n v="1400"/>
    <x v="0"/>
  </r>
  <r>
    <n v="1002"/>
    <s v="2025-01-06"/>
    <x v="1"/>
    <x v="1"/>
    <x v="1"/>
    <n v="5"/>
    <n v="20"/>
    <n v="100"/>
    <x v="1"/>
  </r>
  <r>
    <n v="1003"/>
    <s v="2025-01-06"/>
    <x v="2"/>
    <x v="2"/>
    <x v="2"/>
    <n v="3"/>
    <n v="150"/>
    <n v="450"/>
    <x v="0"/>
  </r>
  <r>
    <n v="1004"/>
    <s v="2025-01-07"/>
    <x v="3"/>
    <x v="3"/>
    <x v="2"/>
    <n v="1"/>
    <n v="300"/>
    <n v="300"/>
    <x v="2"/>
  </r>
  <r>
    <n v="1005"/>
    <s v="2025-01-07"/>
    <x v="0"/>
    <x v="4"/>
    <x v="1"/>
    <n v="4"/>
    <n v="50"/>
    <n v="200"/>
    <x v="1"/>
  </r>
  <r>
    <n v="1006"/>
    <s v="2025-01-08"/>
    <x v="1"/>
    <x v="0"/>
    <x v="0"/>
    <n v="1"/>
    <n v="700"/>
    <n v="700"/>
    <x v="0"/>
  </r>
  <r>
    <n v="1007"/>
    <s v="2025-01-08"/>
    <x v="2"/>
    <x v="5"/>
    <x v="0"/>
    <n v="2"/>
    <n v="250"/>
    <n v="500"/>
    <x v="2"/>
  </r>
  <r>
    <n v="1008"/>
    <s v="2025-01-09"/>
    <x v="3"/>
    <x v="1"/>
    <x v="1"/>
    <n v="6"/>
    <n v="20"/>
    <n v="120"/>
    <x v="1"/>
  </r>
  <r>
    <n v="1009"/>
    <s v="2025-01-09"/>
    <x v="0"/>
    <x v="2"/>
    <x v="2"/>
    <n v="2"/>
    <n v="150"/>
    <n v="300"/>
    <x v="0"/>
  </r>
  <r>
    <n v="1010"/>
    <s v="2025-01-10"/>
    <x v="1"/>
    <x v="3"/>
    <x v="2"/>
    <n v="1"/>
    <n v="300"/>
    <n v="3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BA8CD-CDBF-4BD8-93D6-32EB44DF202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7" firstHeaderRow="1" firstDataRow="1" firstDataCol="1"/>
  <pivotFields count="9">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s>
  <rowFields count="1">
    <field x="4"/>
  </rowFields>
  <rowItems count="4">
    <i>
      <x/>
    </i>
    <i>
      <x v="1"/>
    </i>
    <i>
      <x v="2"/>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3E965-EE55-46F1-BF29-9D0212CDF7B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10" firstHeaderRow="1" firstDataRow="1" firstDataCol="1"/>
  <pivotFields count="9">
    <pivotField showAll="0"/>
    <pivotField showAll="0"/>
    <pivotField showAll="0"/>
    <pivotField axis="axisRow" showAll="0">
      <items count="7">
        <item x="2"/>
        <item x="4"/>
        <item x="0"/>
        <item x="5"/>
        <item x="1"/>
        <item x="3"/>
        <item t="default"/>
      </items>
    </pivotField>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Total_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3AC37-A95E-462A-A9BC-09BE577503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9">
    <pivotField showAll="0"/>
    <pivotField showAll="0"/>
    <pivotField axis="axisRow" showAll="0">
      <items count="5">
        <item x="2"/>
        <item x="0"/>
        <item x="1"/>
        <item x="3"/>
        <item t="default"/>
      </items>
    </pivotField>
    <pivotField showAll="0">
      <items count="7">
        <item x="2"/>
        <item x="4"/>
        <item x="0"/>
        <item x="5"/>
        <item x="1"/>
        <item x="3"/>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_Sales" fld="7" baseField="0" baseItem="0"/>
  </dataField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CA49C-A2E9-4E57-AD70-A095BBD17CC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7" firstHeaderRow="1" firstDataRow="1" firstDataCol="1"/>
  <pivotFields count="9">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s>
  <rowFields count="1">
    <field x="8"/>
  </rowFields>
  <rowItems count="4">
    <i>
      <x/>
    </i>
    <i>
      <x v="1"/>
    </i>
    <i>
      <x v="2"/>
    </i>
    <i t="grand">
      <x/>
    </i>
  </rowItems>
  <colItems count="1">
    <i/>
  </colItems>
  <dataFields count="1">
    <dataField name="Sum of Total_Sales" fld="7"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A1CCE1-DADF-4357-A681-EE1E529E187C}" sourceName="Region">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51A934-248B-4929-9445-E692C7A195FF}" sourceName="Category">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740F266-B2B6-409E-9768-922F6C4BC438}" sourceName="Payment_Mode">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5C31FF6-4618-41AA-B962-BAFAA6CF0F06}" cache="Slicer_Region" caption="Region" rowHeight="241300"/>
  <slicer name="Category" xr10:uid="{1EDDC20F-4A64-4417-82CC-D87B37B2CD56}" cache="Slicer_Category" caption="Category" rowHeight="241300"/>
  <slicer name="Payment_Mode" xr10:uid="{E807E0D1-60BC-493C-80CF-4E1A5AD159BC}" cache="Slicer_Payment_Mode" caption="Payment_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82BD3B-FBE1-4285-94CD-70F051AA37DD}" name="Table1" displayName="Table1" ref="A1:I11" totalsRowShown="0" headerRowDxfId="10" dataDxfId="9">
  <autoFilter ref="A1:I11" xr:uid="{4C82BD3B-FBE1-4285-94CD-70F051AA37DD}"/>
  <tableColumns count="9">
    <tableColumn id="1" xr3:uid="{C73D1722-C847-44E5-B807-DCF82241AD63}" name="Order_ID" dataDxfId="8"/>
    <tableColumn id="2" xr3:uid="{1ED05609-B517-4A83-9061-80DA46E7916F}" name="Order_Date" dataDxfId="7"/>
    <tableColumn id="3" xr3:uid="{22BE5B96-719E-4FD2-937C-70C19876A52A}" name="Region" dataDxfId="6"/>
    <tableColumn id="4" xr3:uid="{F5DA85B2-B068-47BF-929C-F542BB3A9254}" name="Product" dataDxfId="5"/>
    <tableColumn id="5" xr3:uid="{44B53DF9-CC4D-430D-8A6E-02C26E7DBB58}" name="Category" dataDxfId="4"/>
    <tableColumn id="6" xr3:uid="{829507DB-7AA0-46DC-A675-3B5C1E1F4DE7}" name="Quantity" dataDxfId="3"/>
    <tableColumn id="7" xr3:uid="{820663F0-E531-4D70-ACAF-7B6CE15C16B4}" name="Unit_Price" dataDxfId="2"/>
    <tableColumn id="8" xr3:uid="{A5E7666F-E09A-428E-8629-811DDA2C21D1}" name="Total_Sales" dataDxfId="1"/>
    <tableColumn id="9" xr3:uid="{F13581D6-CD12-4987-9041-7538CAA6EC28}" name="Payment_Mode"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workbookViewId="0">
      <selection activeCell="F17" sqref="F17"/>
    </sheetView>
  </sheetViews>
  <sheetFormatPr defaultRowHeight="14.5" x14ac:dyDescent="0.35"/>
  <cols>
    <col min="1" max="1" width="10.54296875" customWidth="1"/>
    <col min="2" max="2" width="12.7265625" customWidth="1"/>
    <col min="4" max="4" width="9.453125" customWidth="1"/>
    <col min="5" max="5" width="10.26953125" customWidth="1"/>
    <col min="6" max="6" width="10.1796875" customWidth="1"/>
    <col min="7" max="7" width="11.453125" customWidth="1"/>
    <col min="8" max="8" width="12.26953125" customWidth="1"/>
    <col min="9" max="9" width="16.1796875" customWidth="1"/>
    <col min="11" max="11" width="10.6328125" customWidth="1"/>
    <col min="12" max="12" width="12.26953125" customWidth="1"/>
    <col min="13" max="13" width="12.08984375" bestFit="1" customWidth="1"/>
    <col min="14" max="14" width="12.1796875" bestFit="1" customWidth="1"/>
  </cols>
  <sheetData>
    <row r="1" spans="1:14" x14ac:dyDescent="0.35">
      <c r="A1" t="s">
        <v>0</v>
      </c>
      <c r="B1" s="1" t="s">
        <v>1</v>
      </c>
      <c r="C1" t="s">
        <v>2</v>
      </c>
      <c r="D1" t="s">
        <v>3</v>
      </c>
      <c r="E1" t="s">
        <v>4</v>
      </c>
      <c r="F1" s="2" t="s">
        <v>5</v>
      </c>
      <c r="G1" s="2" t="s">
        <v>6</v>
      </c>
      <c r="H1" s="2" t="s">
        <v>7</v>
      </c>
      <c r="I1" s="5" t="s">
        <v>8</v>
      </c>
    </row>
    <row r="2" spans="1:14" x14ac:dyDescent="0.35">
      <c r="A2">
        <v>1001</v>
      </c>
      <c r="B2" t="s">
        <v>9</v>
      </c>
      <c r="C2" t="s">
        <v>10</v>
      </c>
      <c r="D2" t="s">
        <v>11</v>
      </c>
      <c r="E2" t="s">
        <v>12</v>
      </c>
      <c r="F2">
        <v>2</v>
      </c>
      <c r="G2">
        <v>700</v>
      </c>
      <c r="H2">
        <v>1400</v>
      </c>
      <c r="I2" t="s">
        <v>13</v>
      </c>
    </row>
    <row r="3" spans="1:14" x14ac:dyDescent="0.35">
      <c r="A3">
        <v>1002</v>
      </c>
      <c r="B3" t="s">
        <v>14</v>
      </c>
      <c r="C3" t="s">
        <v>15</v>
      </c>
      <c r="D3" t="s">
        <v>16</v>
      </c>
      <c r="E3" t="s">
        <v>17</v>
      </c>
      <c r="F3">
        <v>5</v>
      </c>
      <c r="G3">
        <v>20</v>
      </c>
      <c r="H3">
        <v>100</v>
      </c>
      <c r="I3" t="s">
        <v>18</v>
      </c>
      <c r="L3" t="s">
        <v>31</v>
      </c>
      <c r="M3" t="s">
        <v>37</v>
      </c>
      <c r="N3" t="s">
        <v>36</v>
      </c>
    </row>
    <row r="4" spans="1:14" x14ac:dyDescent="0.35">
      <c r="A4">
        <v>1003</v>
      </c>
      <c r="B4" t="s">
        <v>14</v>
      </c>
      <c r="C4" t="s">
        <v>19</v>
      </c>
      <c r="D4" t="s">
        <v>20</v>
      </c>
      <c r="E4" t="s">
        <v>21</v>
      </c>
      <c r="F4">
        <v>3</v>
      </c>
      <c r="G4">
        <v>150</v>
      </c>
      <c r="H4">
        <v>450</v>
      </c>
      <c r="I4" t="s">
        <v>13</v>
      </c>
      <c r="K4" s="2"/>
      <c r="L4" s="2">
        <f>SUM(H:H)</f>
        <v>4370</v>
      </c>
      <c r="M4" s="2">
        <f>MAX(H:H)</f>
        <v>1400</v>
      </c>
      <c r="N4" s="2">
        <f>AVERAGE(H:H)</f>
        <v>437</v>
      </c>
    </row>
    <row r="5" spans="1:14" x14ac:dyDescent="0.35">
      <c r="A5">
        <v>1004</v>
      </c>
      <c r="B5" t="s">
        <v>22</v>
      </c>
      <c r="C5" t="s">
        <v>23</v>
      </c>
      <c r="D5" t="s">
        <v>24</v>
      </c>
      <c r="E5" t="s">
        <v>21</v>
      </c>
      <c r="F5">
        <v>1</v>
      </c>
      <c r="G5">
        <v>300</v>
      </c>
      <c r="H5">
        <v>300</v>
      </c>
      <c r="I5" t="s">
        <v>25</v>
      </c>
    </row>
    <row r="6" spans="1:14" x14ac:dyDescent="0.35">
      <c r="A6">
        <v>1005</v>
      </c>
      <c r="B6" t="s">
        <v>22</v>
      </c>
      <c r="C6" t="s">
        <v>10</v>
      </c>
      <c r="D6" t="s">
        <v>26</v>
      </c>
      <c r="E6" t="s">
        <v>17</v>
      </c>
      <c r="F6">
        <v>4</v>
      </c>
      <c r="G6">
        <v>50</v>
      </c>
      <c r="H6">
        <v>200</v>
      </c>
      <c r="I6" t="s">
        <v>18</v>
      </c>
    </row>
    <row r="7" spans="1:14" x14ac:dyDescent="0.35">
      <c r="A7">
        <v>1006</v>
      </c>
      <c r="B7" t="s">
        <v>27</v>
      </c>
      <c r="C7" t="s">
        <v>15</v>
      </c>
      <c r="D7" t="s">
        <v>11</v>
      </c>
      <c r="E7" t="s">
        <v>12</v>
      </c>
      <c r="F7">
        <v>1</v>
      </c>
      <c r="G7">
        <v>700</v>
      </c>
      <c r="H7">
        <v>700</v>
      </c>
      <c r="I7" t="s">
        <v>13</v>
      </c>
    </row>
    <row r="8" spans="1:14" x14ac:dyDescent="0.35">
      <c r="A8">
        <v>1007</v>
      </c>
      <c r="B8" t="s">
        <v>27</v>
      </c>
      <c r="C8" t="s">
        <v>19</v>
      </c>
      <c r="D8" t="s">
        <v>28</v>
      </c>
      <c r="E8" t="s">
        <v>12</v>
      </c>
      <c r="F8">
        <v>2</v>
      </c>
      <c r="G8">
        <v>250</v>
      </c>
      <c r="H8">
        <v>500</v>
      </c>
      <c r="I8" t="s">
        <v>25</v>
      </c>
      <c r="M8" s="2"/>
    </row>
    <row r="9" spans="1:14" x14ac:dyDescent="0.35">
      <c r="A9">
        <v>1008</v>
      </c>
      <c r="B9" t="s">
        <v>29</v>
      </c>
      <c r="C9" t="s">
        <v>23</v>
      </c>
      <c r="D9" t="s">
        <v>16</v>
      </c>
      <c r="E9" t="s">
        <v>17</v>
      </c>
      <c r="F9">
        <v>6</v>
      </c>
      <c r="G9">
        <v>20</v>
      </c>
      <c r="H9">
        <v>120</v>
      </c>
      <c r="I9" t="s">
        <v>18</v>
      </c>
    </row>
    <row r="10" spans="1:14" x14ac:dyDescent="0.35">
      <c r="A10">
        <v>1009</v>
      </c>
      <c r="B10" t="s">
        <v>29</v>
      </c>
      <c r="C10" t="s">
        <v>10</v>
      </c>
      <c r="D10" t="s">
        <v>20</v>
      </c>
      <c r="E10" t="s">
        <v>21</v>
      </c>
      <c r="F10">
        <v>2</v>
      </c>
      <c r="G10">
        <v>150</v>
      </c>
      <c r="H10">
        <v>300</v>
      </c>
      <c r="I10" t="s">
        <v>13</v>
      </c>
    </row>
    <row r="11" spans="1:14" x14ac:dyDescent="0.35">
      <c r="A11">
        <v>1010</v>
      </c>
      <c r="B11" t="s">
        <v>30</v>
      </c>
      <c r="C11" t="s">
        <v>15</v>
      </c>
      <c r="D11" t="s">
        <v>24</v>
      </c>
      <c r="E11" t="s">
        <v>21</v>
      </c>
      <c r="F11">
        <v>1</v>
      </c>
      <c r="G11">
        <v>300</v>
      </c>
      <c r="H11">
        <v>300</v>
      </c>
      <c r="I11" t="s">
        <v>25</v>
      </c>
    </row>
    <row r="15" spans="1:14" x14ac:dyDescent="0.35">
      <c r="K15" s="2"/>
    </row>
    <row r="16" spans="1:14" x14ac:dyDescent="0.35">
      <c r="H16" s="2"/>
    </row>
  </sheetData>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E352-DA26-4162-8168-9F23B8D263A8}">
  <dimension ref="A3:L10"/>
  <sheetViews>
    <sheetView tabSelected="1" zoomScale="90" zoomScaleNormal="90" workbookViewId="0">
      <selection activeCell="N16" sqref="N16"/>
    </sheetView>
  </sheetViews>
  <sheetFormatPr defaultRowHeight="14.5" x14ac:dyDescent="0.35"/>
  <cols>
    <col min="1" max="1" width="12.36328125" bestFit="1" customWidth="1"/>
    <col min="2" max="2" width="16.6328125" bestFit="1" customWidth="1"/>
    <col min="5" max="5" width="12.36328125" bestFit="1" customWidth="1"/>
    <col min="6" max="6" width="16.6328125" bestFit="1" customWidth="1"/>
    <col min="8" max="8" width="12.36328125" bestFit="1" customWidth="1"/>
    <col min="9" max="9" width="14.54296875" bestFit="1" customWidth="1"/>
    <col min="11" max="11" width="12.36328125" bestFit="1" customWidth="1"/>
    <col min="12" max="12" width="16.6328125" bestFit="1" customWidth="1"/>
  </cols>
  <sheetData>
    <row r="3" spans="1:12" x14ac:dyDescent="0.35">
      <c r="A3" s="3" t="s">
        <v>32</v>
      </c>
      <c r="B3" t="s">
        <v>34</v>
      </c>
      <c r="E3" s="3" t="s">
        <v>32</v>
      </c>
      <c r="F3" t="s">
        <v>34</v>
      </c>
      <c r="H3" s="3" t="s">
        <v>32</v>
      </c>
      <c r="I3" t="s">
        <v>35</v>
      </c>
      <c r="K3" s="3" t="s">
        <v>32</v>
      </c>
      <c r="L3" t="s">
        <v>34</v>
      </c>
    </row>
    <row r="4" spans="1:12" x14ac:dyDescent="0.35">
      <c r="A4" s="4" t="s">
        <v>19</v>
      </c>
      <c r="B4">
        <v>950</v>
      </c>
      <c r="E4" s="4" t="s">
        <v>20</v>
      </c>
      <c r="F4">
        <v>750</v>
      </c>
      <c r="H4" s="4" t="s">
        <v>17</v>
      </c>
      <c r="I4">
        <v>15</v>
      </c>
      <c r="K4" s="4" t="s">
        <v>13</v>
      </c>
      <c r="L4">
        <v>2850</v>
      </c>
    </row>
    <row r="5" spans="1:12" x14ac:dyDescent="0.35">
      <c r="A5" s="4" t="s">
        <v>10</v>
      </c>
      <c r="B5">
        <v>1900</v>
      </c>
      <c r="E5" s="4" t="s">
        <v>26</v>
      </c>
      <c r="F5">
        <v>200</v>
      </c>
      <c r="H5" s="4" t="s">
        <v>12</v>
      </c>
      <c r="I5">
        <v>5</v>
      </c>
      <c r="K5" s="4" t="s">
        <v>18</v>
      </c>
      <c r="L5">
        <v>420</v>
      </c>
    </row>
    <row r="6" spans="1:12" x14ac:dyDescent="0.35">
      <c r="A6" s="4" t="s">
        <v>15</v>
      </c>
      <c r="B6">
        <v>1100</v>
      </c>
      <c r="E6" s="4" t="s">
        <v>11</v>
      </c>
      <c r="F6">
        <v>2100</v>
      </c>
      <c r="H6" s="4" t="s">
        <v>21</v>
      </c>
      <c r="I6">
        <v>7</v>
      </c>
      <c r="K6" s="4" t="s">
        <v>25</v>
      </c>
      <c r="L6">
        <v>1100</v>
      </c>
    </row>
    <row r="7" spans="1:12" x14ac:dyDescent="0.35">
      <c r="A7" s="4" t="s">
        <v>23</v>
      </c>
      <c r="B7">
        <v>420</v>
      </c>
      <c r="E7" s="4" t="s">
        <v>28</v>
      </c>
      <c r="F7">
        <v>500</v>
      </c>
      <c r="H7" s="4" t="s">
        <v>33</v>
      </c>
      <c r="I7">
        <v>27</v>
      </c>
      <c r="K7" s="4" t="s">
        <v>33</v>
      </c>
      <c r="L7">
        <v>4370</v>
      </c>
    </row>
    <row r="8" spans="1:12" x14ac:dyDescent="0.35">
      <c r="A8" s="4" t="s">
        <v>33</v>
      </c>
      <c r="B8">
        <v>4370</v>
      </c>
      <c r="E8" s="4" t="s">
        <v>16</v>
      </c>
      <c r="F8">
        <v>220</v>
      </c>
    </row>
    <row r="9" spans="1:12" x14ac:dyDescent="0.35">
      <c r="E9" s="4" t="s">
        <v>24</v>
      </c>
      <c r="F9">
        <v>600</v>
      </c>
    </row>
    <row r="10" spans="1:12" x14ac:dyDescent="0.35">
      <c r="E10" s="4" t="s">
        <v>33</v>
      </c>
      <c r="F10">
        <v>4370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Retail_Sales_Data</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Akbar Ali</cp:lastModifiedBy>
  <dcterms:created xsi:type="dcterms:W3CDTF">2026-01-05T13:57:48Z</dcterms:created>
  <dcterms:modified xsi:type="dcterms:W3CDTF">2026-01-06T13:28:02Z</dcterms:modified>
</cp:coreProperties>
</file>